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foProyectos\htdocs\msprojects\encryptdecryptchrtranclassrepo\project-dev\"/>
    </mc:Choice>
  </mc:AlternateContent>
  <xr:revisionPtr revIDLastSave="0" documentId="13_ncr:1_{985B5173-BC56-42A2-AA16-26783F50F6DE}" xr6:coauthVersionLast="47" xr6:coauthVersionMax="47" xr10:uidLastSave="{00000000-0000-0000-0000-000000000000}"/>
  <bookViews>
    <workbookView xWindow="-108" yWindow="-108" windowWidth="23256" windowHeight="12720" xr2:uid="{EDE4BA26-BEAC-42CA-BED1-108F9B39DAD4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" l="1"/>
  <c r="B22" i="1" s="1"/>
  <c r="B13" i="1"/>
  <c r="B14" i="1" s="1"/>
  <c r="B50" i="1"/>
  <c r="B29" i="1"/>
  <c r="B46" i="1"/>
  <c r="B38" i="1"/>
  <c r="C10" i="1"/>
  <c r="B42" i="1" s="1"/>
  <c r="B33" i="1"/>
  <c r="B17" i="1"/>
  <c r="B25" i="1"/>
  <c r="B26" i="1" l="1"/>
  <c r="B39" i="1"/>
  <c r="B18" i="1"/>
  <c r="B47" i="1"/>
  <c r="B34" i="1"/>
  <c r="B30" i="1"/>
  <c r="B43" i="1"/>
  <c r="B51" i="1"/>
</calcChain>
</file>

<file path=xl/sharedStrings.xml><?xml version="1.0" encoding="utf-8"?>
<sst xmlns="http://schemas.openxmlformats.org/spreadsheetml/2006/main" count="39" uniqueCount="21">
  <si>
    <t>My Text:</t>
  </si>
  <si>
    <t>My Key:</t>
  </si>
  <si>
    <t>My Random Key:</t>
  </si>
  <si>
    <t>myk3y</t>
  </si>
  <si>
    <t>ENCRYPTION/DECRYPTION BASED ON THE HARVEY TRIANA'S ALGORITHMS</t>
  </si>
  <si>
    <t>Basic means that algorithm uses the basic requirements: A encryptable text, a password and a option to encrypt or decrypt</t>
  </si>
  <si>
    <t>Static means that algorithm uses a method that generates a fixed result. So, it never will change; an encryptable text that uses a determined password always result on a determined string.</t>
  </si>
  <si>
    <t>Dynamic means that algorithm will give undetermined results because to create the final encrypted string uses random keys and random internal ranges of ASCII characters code.</t>
  </si>
  <si>
    <t>USING THE ADVANCED ENCRYPTION METHOD WITH STATIC RESULTS. SECOND CASE: WITH A PROPERTY OF THE CLASS</t>
  </si>
  <si>
    <t>USING THE BASIC ENCRYPTION METHOD</t>
  </si>
  <si>
    <t>USING THE BASIC ENCRYPTION METHOD WITH DYNAMIC RESULTS</t>
  </si>
  <si>
    <t>USING THE ADVANCED ENCRYPTION METHOD WITH STATIC RESULTS. FIRST CASE: WITH A OWN PASSWORD</t>
  </si>
  <si>
    <t>USING THE ADVANCED ENCRYPTION METHOD WITH STATIC RESULTS. THIRD CASE (2): WITH A RANDOM PASSWORD AT RIGHT</t>
  </si>
  <si>
    <t>USING THE ADVANCED ENCRYPTION METHOD WITH STATIC RESULTS. THIRD CASE (1): WITH A RANDOM PASSWORD AT LEFT</t>
  </si>
  <si>
    <t>USING THE ADVANCED ENCRYPTION METHOD WITH DYNAMICS RESULTS. FIRST CASE: WITH A OWN PASSWORD</t>
  </si>
  <si>
    <t>USING THE ADVANCED ENCRYPTION METHOD WITH DYNAMICS RESULTS. SECOND CASE: WITH A PROPERTY OF THE CLASS</t>
  </si>
  <si>
    <t>USING THE ADVANCED ENCRYPTION METHOD WITH DYNAMICS RESULTS. SECOND CASE (1): WITH A RANDOM KEY AT LEFT</t>
  </si>
  <si>
    <t>USING THE ADVANCED ENCRYPTION METHOD WITH DYNAMICS RESULTS. SECOND CASE (2): WITH A RANDOM KEY AT RIGHT.</t>
  </si>
  <si>
    <t>Some text to encrypt</t>
  </si>
  <si>
    <t>ENCRYPT:</t>
  </si>
  <si>
    <t>DECRYPT: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</si>
</sst>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0" borderId="0" xfId="0" quotePrefix="1" applyAlignment="1">
      <alignment horizontal="left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0E8B-CD10-4CA5-A166-D7B2A613041B}">
  <sheetPr codeName="Hoja1"/>
  <dimension ref="A1:J51"/>
  <sheetViews>
    <sheetView tabSelected="1" workbookViewId="0">
      <selection activeCell="E7" sqref="E7"/>
    </sheetView>
  </sheetViews>
  <sheetFormatPr baseColWidth="10" defaultRowHeight="14.4" x14ac:dyDescent="0.3"/>
  <cols>
    <col min="1" max="1" width="12.33203125" bestFit="1" customWidth="1"/>
    <col min="2" max="2" width="15.21875" customWidth="1"/>
  </cols>
  <sheetData>
    <row r="1" spans="1:10" x14ac:dyDescent="0.3">
      <c r="A1" s="2" t="s">
        <v>4</v>
      </c>
    </row>
    <row r="2" spans="1:10" x14ac:dyDescent="0.3">
      <c r="A2" t="s">
        <v>5</v>
      </c>
    </row>
    <row r="3" spans="1:10" x14ac:dyDescent="0.3">
      <c r="A3" t="s">
        <v>6</v>
      </c>
    </row>
    <row r="4" spans="1:10" x14ac:dyDescent="0.3">
      <c r="A4" t="s">
        <v>7</v>
      </c>
    </row>
    <row r="8" spans="1:10" x14ac:dyDescent="0.3">
      <c r="B8" t="s">
        <v>0</v>
      </c>
      <c r="C8" t="s">
        <v>18</v>
      </c>
    </row>
    <row r="9" spans="1:10" x14ac:dyDescent="0.3">
      <c r="B9" t="s">
        <v>1</v>
      </c>
      <c r="C9" t="s">
        <v>3</v>
      </c>
    </row>
    <row r="10" spans="1:10" x14ac:dyDescent="0.3">
      <c r="B10" t="s">
        <v>2</v>
      </c>
      <c r="C10" t="str">
        <f ca="1">+EDGenerateRandomKey()</f>
        <v>ZXDFM</v>
      </c>
    </row>
    <row r="12" spans="1:10" x14ac:dyDescent="0.3">
      <c r="B12" s="3" t="s">
        <v>9</v>
      </c>
      <c r="C12" s="3"/>
      <c r="D12" s="3"/>
      <c r="E12" s="3"/>
      <c r="F12" s="3"/>
      <c r="G12" s="4"/>
      <c r="H12" s="3"/>
      <c r="I12" s="3"/>
      <c r="J12" s="3"/>
    </row>
    <row r="13" spans="1:10" x14ac:dyDescent="0.3">
      <c r="A13" t="s">
        <v>19</v>
      </c>
      <c r="B13" s="1" t="str">
        <f>+EDEncryptBasicStaticWithPass(C8,C9)</f>
        <v>GOHHIHHGLHGFGJGHHKHGFHHOHHKGJGHHKHHFGJGHGFHGOHFNHHIHIFHHGHHK</v>
      </c>
      <c r="G13" s="1"/>
    </row>
    <row r="14" spans="1:10" x14ac:dyDescent="0.3">
      <c r="A14" t="s">
        <v>20</v>
      </c>
      <c r="B14" s="1" t="str">
        <f>+EDDecryptBasicStaticWithPass(B13,C9)</f>
        <v>Some text to encrypt</v>
      </c>
    </row>
    <row r="16" spans="1:10" x14ac:dyDescent="0.3">
      <c r="B16" s="3" t="s">
        <v>10</v>
      </c>
      <c r="C16" s="3"/>
      <c r="D16" s="3"/>
      <c r="E16" s="3"/>
      <c r="F16" s="3"/>
      <c r="G16" s="3"/>
      <c r="H16" s="3"/>
      <c r="I16" s="3"/>
      <c r="J16" s="3"/>
    </row>
    <row r="17" spans="1:10" x14ac:dyDescent="0.3">
      <c r="A17" t="s">
        <v>19</v>
      </c>
      <c r="B17" s="1" t="str">
        <f ca="1">+EDEncryptBasicDynamicWithPass(C8,C9)</f>
        <v>=E&gt;&gt;?&gt;&gt;=B&gt;=&lt;=@=&gt;&gt;A&gt;=&lt;&gt;&gt;E&gt;&gt;A=@=&gt;&gt;A&gt;&gt;&lt;=@=&gt;=&lt;&gt;=E&gt;&lt;D&gt;&gt;?&gt;?&lt;&gt;&gt;=&gt;&gt;A</v>
      </c>
    </row>
    <row r="18" spans="1:10" x14ac:dyDescent="0.3">
      <c r="A18" t="s">
        <v>20</v>
      </c>
      <c r="B18" s="5" t="str">
        <f ca="1">+EDDecryptBasicDynamicWithPass(B17,C9)</f>
        <v>Some text to encrypt</v>
      </c>
    </row>
    <row r="20" spans="1:10" x14ac:dyDescent="0.3">
      <c r="B20" s="3" t="s">
        <v>11</v>
      </c>
      <c r="C20" s="3"/>
      <c r="D20" s="3"/>
      <c r="E20" s="3"/>
      <c r="F20" s="3"/>
      <c r="G20" s="3"/>
      <c r="H20" s="3"/>
      <c r="I20" s="3"/>
      <c r="J20" s="3"/>
    </row>
    <row r="21" spans="1:10" x14ac:dyDescent="0.3">
      <c r="A21" t="s">
        <v>19</v>
      </c>
      <c r="B21" s="1" t="str">
        <f>+EDEncryptStaticsWithPass(C8,C9)</f>
        <v>GOHHIHHGLHGFGJGHHKHGFHHOHHKGJGHHKHHFGJGHGFHGOHFNHHIHIFHHGHHK</v>
      </c>
    </row>
    <row r="22" spans="1:10" x14ac:dyDescent="0.3">
      <c r="A22" t="s">
        <v>20</v>
      </c>
      <c r="B22" s="1" t="str">
        <f>+EDDecryptStaticsWithPass(B21,C9)</f>
        <v>Some text to encrypt</v>
      </c>
    </row>
    <row r="24" spans="1:10" x14ac:dyDescent="0.3">
      <c r="A24" s="6"/>
      <c r="B24" s="3" t="s">
        <v>8</v>
      </c>
      <c r="C24" s="3"/>
      <c r="D24" s="3"/>
      <c r="E24" s="3"/>
      <c r="F24" s="3"/>
      <c r="G24" s="3"/>
      <c r="H24" s="3"/>
      <c r="I24" s="3"/>
      <c r="J24" s="3"/>
    </row>
    <row r="25" spans="1:10" x14ac:dyDescent="0.3">
      <c r="A25" t="s">
        <v>19</v>
      </c>
      <c r="B25" s="1" t="str">
        <f ca="1">+EDEncryptStaticsWithPROPERTY(C8,C10)</f>
        <v>GMIGOOGMMGOGGHHHFLGOGHGFHFLGHHHFLHFGGHHGOGHFFGNOHFJHGGHFHHFL</v>
      </c>
    </row>
    <row r="26" spans="1:10" x14ac:dyDescent="0.3">
      <c r="A26" t="s">
        <v>20</v>
      </c>
      <c r="B26" s="1" t="str">
        <f ca="1">+EDDecryptStaticsWithPROPERTY(B25,C10)</f>
        <v>Some text to encrypt</v>
      </c>
    </row>
    <row r="28" spans="1:10" x14ac:dyDescent="0.3">
      <c r="B28" s="3" t="s">
        <v>13</v>
      </c>
      <c r="C28" s="3"/>
      <c r="D28" s="3"/>
      <c r="E28" s="3"/>
      <c r="F28" s="3"/>
      <c r="G28" s="3"/>
      <c r="H28" s="3"/>
      <c r="I28" s="3"/>
      <c r="J28" s="3"/>
    </row>
    <row r="29" spans="1:10" x14ac:dyDescent="0.3">
      <c r="A29" t="s">
        <v>19</v>
      </c>
      <c r="B29" s="1" t="str">
        <f ca="1">+EDEncryptStaticsWithRANDOM(C8)</f>
        <v>VCJAI#$GLOGMNGNIGNMGGNHFHGNMHFLHFHGGNHFHGOMGGNGNMGOLGNKHFFHFMGONHFH</v>
      </c>
    </row>
    <row r="30" spans="1:10" x14ac:dyDescent="0.3">
      <c r="A30" t="s">
        <v>20</v>
      </c>
      <c r="B30" s="1" t="str">
        <f ca="1">+EDDecryptStaticsWithRANDOM(B29)</f>
        <v>Some text to encrypt</v>
      </c>
    </row>
    <row r="32" spans="1:10" x14ac:dyDescent="0.3">
      <c r="B32" s="3" t="s">
        <v>12</v>
      </c>
      <c r="C32" s="3"/>
      <c r="D32" s="3"/>
      <c r="E32" s="3"/>
      <c r="F32" s="3"/>
      <c r="G32" s="3"/>
      <c r="H32" s="3"/>
      <c r="I32" s="3"/>
      <c r="J32" s="3"/>
    </row>
    <row r="33" spans="1:10" x14ac:dyDescent="0.3">
      <c r="A33" t="s">
        <v>19</v>
      </c>
      <c r="B33" s="1" t="str">
        <f ca="1">+EDEncryptStaticsWithRANDOMRIGHT(C8)</f>
        <v>GKKGNGGOIGMIGFJGNNGMIGOHGNNGFJGNNGNIGFJGMIGNHGMGGNLGOIGNJGNN$HFTBK#</v>
      </c>
    </row>
    <row r="34" spans="1:10" x14ac:dyDescent="0.3">
      <c r="A34" t="s">
        <v>20</v>
      </c>
      <c r="B34" s="1" t="str">
        <f ca="1">+EDDecryptStaticsWithRANDOMRIGHT(B33)</f>
        <v>Some text to encrypt</v>
      </c>
    </row>
    <row r="37" spans="1:10" x14ac:dyDescent="0.3">
      <c r="A37" s="6"/>
      <c r="B37" s="3" t="s">
        <v>14</v>
      </c>
      <c r="C37" s="3"/>
      <c r="D37" s="3"/>
      <c r="E37" s="3"/>
      <c r="F37" s="3"/>
      <c r="G37" s="3"/>
      <c r="H37" s="3"/>
      <c r="I37" s="3"/>
      <c r="J37" s="3"/>
    </row>
    <row r="38" spans="1:10" x14ac:dyDescent="0.3">
      <c r="A38" t="s">
        <v>19</v>
      </c>
      <c r="B38" s="1" t="str">
        <f ca="1">+EDEncryptDynamicsWithPass(C8,C9)</f>
        <v>owppqppotponoroppsponppwppsoroppsppnoroponpowpnvppqpqnppopps</v>
      </c>
    </row>
    <row r="39" spans="1:10" x14ac:dyDescent="0.3">
      <c r="A39" t="s">
        <v>20</v>
      </c>
      <c r="B39" s="1" t="str">
        <f ca="1">+EDDecryptDynamicsWithPass(B38,C9)</f>
        <v>Some text to encrypt</v>
      </c>
    </row>
    <row r="41" spans="1:10" x14ac:dyDescent="0.3">
      <c r="A41" s="6"/>
      <c r="B41" s="3" t="s">
        <v>15</v>
      </c>
      <c r="C41" s="3"/>
      <c r="D41" s="3"/>
      <c r="E41" s="3"/>
      <c r="F41" s="3"/>
      <c r="G41" s="3"/>
      <c r="H41" s="3"/>
      <c r="I41" s="3"/>
      <c r="J41" s="3"/>
    </row>
    <row r="42" spans="1:10" x14ac:dyDescent="0.3">
      <c r="A42" t="s">
        <v>19</v>
      </c>
      <c r="B42" s="1" t="str">
        <f ca="1">+EDEncryptDynamicsWithPROPERTY(C8,C10)</f>
        <v>ouqowwouuowoopppntowoponpntopppntpnooppowopnnovwpnrpoopnppnt</v>
      </c>
    </row>
    <row r="43" spans="1:10" x14ac:dyDescent="0.3">
      <c r="A43" t="s">
        <v>20</v>
      </c>
      <c r="B43" s="1" t="str">
        <f ca="1">+EDDecryptDynamicsWithPROPERTY(B42,C10)</f>
        <v>Some text to encrypt</v>
      </c>
    </row>
    <row r="45" spans="1:10" x14ac:dyDescent="0.3">
      <c r="B45" s="3" t="s">
        <v>16</v>
      </c>
      <c r="C45" s="3"/>
      <c r="D45" s="3"/>
      <c r="E45" s="3"/>
      <c r="F45" s="3"/>
      <c r="G45" s="3"/>
      <c r="H45" s="3"/>
      <c r="I45" s="3"/>
      <c r="J45" s="3"/>
    </row>
    <row r="46" spans="1:10" x14ac:dyDescent="0.3">
      <c r="A46" t="s">
        <v>19</v>
      </c>
      <c r="B46" s="1" t="str">
        <f ca="1">+EDEncryptDynamicsWithRANDOM(C8)</f>
        <v>DQKJG#$[_[[c\[b^[`c[ZZ[b^[`c[bb[b^[ZZ[b^[ac[ZZ[`c[ab[`a[b\[bc[bZ[b^</v>
      </c>
    </row>
    <row r="47" spans="1:10" x14ac:dyDescent="0.3">
      <c r="A47" t="s">
        <v>20</v>
      </c>
      <c r="B47" s="1" t="str">
        <f ca="1">+EDDecryptDynamicsWithRANDOM(B46)</f>
        <v>Some text to encrypt</v>
      </c>
    </row>
    <row r="49" spans="1:10" x14ac:dyDescent="0.3">
      <c r="B49" s="3" t="s">
        <v>17</v>
      </c>
      <c r="C49" s="3"/>
      <c r="D49" s="3"/>
      <c r="E49" s="3"/>
      <c r="F49" s="3"/>
      <c r="G49" s="3"/>
      <c r="H49" s="3"/>
      <c r="I49" s="3"/>
      <c r="J49" s="3"/>
    </row>
    <row r="50" spans="1:10" x14ac:dyDescent="0.3">
      <c r="A50" t="s">
        <v>19</v>
      </c>
      <c r="B50" s="1" t="str">
        <f ca="1">+EDEncryptDynamicsWithRANDOMRIGHT(C8)</f>
        <v>otoowsovrouwoonowrouwowvowroonowrovwoonouwovvouuowpowwownowr$NTKKD#</v>
      </c>
    </row>
    <row r="51" spans="1:10" x14ac:dyDescent="0.3">
      <c r="A51" t="s">
        <v>20</v>
      </c>
      <c r="B51" s="1" t="str">
        <f ca="1">+EDDecryptDynamicsWithRANDOMRIGHT(B50)</f>
        <v>Some text to encrypt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Roccou</dc:creator>
  <cp:lastModifiedBy>Roccou</cp:lastModifiedBy>
  <dcterms:created xsi:type="dcterms:W3CDTF">2020-04-25T02:41:59Z</dcterms:created>
  <dcterms:modified xsi:type="dcterms:W3CDTF">2021-10-17T19:26:27Z</dcterms:modified>
</cp:coreProperties>
</file>